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responses_cleaned (2)" sheetId="2" r:id="rId1"/>
    <sheet name="responses_raw" sheetId="1" r:id="rId2"/>
  </sheets>
  <definedNames>
    <definedName name="_xlnm._FilterDatabase" localSheetId="0" hidden="1">'responses_cleaned (2)'!$A$1:$V$11</definedName>
  </definedNames>
  <calcPr calcId="124519"/>
</workbook>
</file>

<file path=xl/calcChain.xml><?xml version="1.0" encoding="utf-8"?>
<calcChain xmlns="http://schemas.openxmlformats.org/spreadsheetml/2006/main">
  <c r="O3" i="2"/>
  <c r="O4"/>
  <c r="O5"/>
  <c r="O6"/>
  <c r="O7"/>
  <c r="O8"/>
  <c r="O9"/>
  <c r="O10"/>
  <c r="O11"/>
  <c r="O2"/>
  <c r="H3"/>
  <c r="H4"/>
  <c r="H5"/>
  <c r="H6"/>
  <c r="H7"/>
  <c r="H8"/>
  <c r="H9"/>
  <c r="H10"/>
  <c r="H11"/>
  <c r="H2"/>
  <c r="F3"/>
  <c r="F4"/>
  <c r="F5"/>
  <c r="F6"/>
  <c r="F7"/>
  <c r="F8"/>
  <c r="F9"/>
  <c r="F10"/>
  <c r="F11"/>
  <c r="F2"/>
</calcChain>
</file>

<file path=xl/sharedStrings.xml><?xml version="1.0" encoding="utf-8"?>
<sst xmlns="http://schemas.openxmlformats.org/spreadsheetml/2006/main" count="439" uniqueCount="143">
  <si>
    <t>respondent_id</t>
  </si>
  <si>
    <t>age_range</t>
  </si>
  <si>
    <t>num_children</t>
  </si>
  <si>
    <t>youngest_child_age</t>
  </si>
  <si>
    <t>employment_type</t>
  </si>
  <si>
    <t>paid_hours</t>
  </si>
  <si>
    <t>job_flexibility</t>
  </si>
  <si>
    <t>household_hours</t>
  </si>
  <si>
    <t>childcare_hours</t>
  </si>
  <si>
    <t>planning_tasks</t>
  </si>
  <si>
    <t>task_memory_owner</t>
  </si>
  <si>
    <t>mental_on_duty</t>
  </si>
  <si>
    <t>partner_support</t>
  </si>
  <si>
    <t>external_support</t>
  </si>
  <si>
    <t>employer_support</t>
  </si>
  <si>
    <t>stress_level</t>
  </si>
  <si>
    <t>burnout</t>
  </si>
  <si>
    <t>sleep_hours</t>
  </si>
  <si>
    <t>career_impact</t>
  </si>
  <si>
    <t>postponed_goals</t>
  </si>
  <si>
    <t>career_satisfaction</t>
  </si>
  <si>
    <t>001</t>
  </si>
  <si>
    <t>25-34</t>
  </si>
  <si>
    <t>2</t>
  </si>
  <si>
    <t>4–6</t>
  </si>
  <si>
    <t>Full time</t>
  </si>
  <si>
    <t>40 hrs</t>
  </si>
  <si>
    <t>4</t>
  </si>
  <si>
    <t>15-20</t>
  </si>
  <si>
    <t>around 25</t>
  </si>
  <si>
    <t>Often</t>
  </si>
  <si>
    <t>Mostly me</t>
  </si>
  <si>
    <t>5</t>
  </si>
  <si>
    <t>3</t>
  </si>
  <si>
    <t>Family + paid</t>
  </si>
  <si>
    <t>Somewhat</t>
  </si>
  <si>
    <t>very high</t>
  </si>
  <si>
    <t>6-7</t>
  </si>
  <si>
    <t>yes negatively</t>
  </si>
  <si>
    <t>Y</t>
  </si>
  <si>
    <t>002</t>
  </si>
  <si>
    <t>35 - 44</t>
  </si>
  <si>
    <t>one</t>
  </si>
  <si>
    <t>7–12</t>
  </si>
  <si>
    <t>part-time</t>
  </si>
  <si>
    <t>25</t>
  </si>
  <si>
    <t>10</t>
  </si>
  <si>
    <t>15</t>
  </si>
  <si>
    <t>Sometimes</t>
  </si>
  <si>
    <t>Shared equally</t>
  </si>
  <si>
    <t>none</t>
  </si>
  <si>
    <t>Yes</t>
  </si>
  <si>
    <t>5-6</t>
  </si>
  <si>
    <t>no change</t>
  </si>
  <si>
    <t>N</t>
  </si>
  <si>
    <t>003</t>
  </si>
  <si>
    <t>25–34</t>
  </si>
  <si>
    <t>1–3</t>
  </si>
  <si>
    <t>FT</t>
  </si>
  <si>
    <t>45+</t>
  </si>
  <si>
    <t>20+</t>
  </si>
  <si>
    <t>30+</t>
  </si>
  <si>
    <t>Always</t>
  </si>
  <si>
    <t>mostly me</t>
  </si>
  <si>
    <t>family help</t>
  </si>
  <si>
    <t>Not at all</t>
  </si>
  <si>
    <t>High</t>
  </si>
  <si>
    <t>&lt;5</t>
  </si>
  <si>
    <t>Yes negative</t>
  </si>
  <si>
    <t>1</t>
  </si>
  <si>
    <t>004</t>
  </si>
  <si>
    <t>45-54</t>
  </si>
  <si>
    <t>13+</t>
  </si>
  <si>
    <t>Self employed</t>
  </si>
  <si>
    <t>~50</t>
  </si>
  <si>
    <t>unknown</t>
  </si>
  <si>
    <t>often</t>
  </si>
  <si>
    <t>Me</t>
  </si>
  <si>
    <t>Paid childcare</t>
  </si>
  <si>
    <t>medium</t>
  </si>
  <si>
    <t>sometimes</t>
  </si>
  <si>
    <t>6 hrs</t>
  </si>
  <si>
    <t>005</t>
  </si>
  <si>
    <t>35–44</t>
  </si>
  <si>
    <t>4+</t>
  </si>
  <si>
    <t>Under 1</t>
  </si>
  <si>
    <t>full-time</t>
  </si>
  <si>
    <t>40-45</t>
  </si>
  <si>
    <t>35</t>
  </si>
  <si>
    <t>Mostly Me</t>
  </si>
  <si>
    <t>Both</t>
  </si>
  <si>
    <t>No support</t>
  </si>
  <si>
    <t>VERY HIGH</t>
  </si>
  <si>
    <t>less than 5</t>
  </si>
  <si>
    <t>Yes negatively</t>
  </si>
  <si>
    <t>006</t>
  </si>
  <si>
    <t>1-3</t>
  </si>
  <si>
    <t>Contract</t>
  </si>
  <si>
    <t>30 ish</t>
  </si>
  <si>
    <t>5-10</t>
  </si>
  <si>
    <t>10–20</t>
  </si>
  <si>
    <t>Partner</t>
  </si>
  <si>
    <t>Family</t>
  </si>
  <si>
    <t>low</t>
  </si>
  <si>
    <t>Never</t>
  </si>
  <si>
    <t>7+</t>
  </si>
  <si>
    <t>No change</t>
  </si>
  <si>
    <t>no</t>
  </si>
  <si>
    <t>007</t>
  </si>
  <si>
    <t>35-44</t>
  </si>
  <si>
    <t>Full Time</t>
  </si>
  <si>
    <t>40</t>
  </si>
  <si>
    <t xml:space="preserve">15 </t>
  </si>
  <si>
    <t xml:space="preserve">20 </t>
  </si>
  <si>
    <t>008</t>
  </si>
  <si>
    <t>45–54</t>
  </si>
  <si>
    <t>7-12</t>
  </si>
  <si>
    <t>PT</t>
  </si>
  <si>
    <t>20 hrs</t>
  </si>
  <si>
    <t>10-15</t>
  </si>
  <si>
    <t>rarely</t>
  </si>
  <si>
    <t>Shared</t>
  </si>
  <si>
    <t>Family help</t>
  </si>
  <si>
    <t>009</t>
  </si>
  <si>
    <t>fulltime</t>
  </si>
  <si>
    <t>50+</t>
  </si>
  <si>
    <t>40+</t>
  </si>
  <si>
    <t>None</t>
  </si>
  <si>
    <t>extremely high</t>
  </si>
  <si>
    <t>4-5</t>
  </si>
  <si>
    <t>YES</t>
  </si>
  <si>
    <t>010</t>
  </si>
  <si>
    <t>Freelance</t>
  </si>
  <si>
    <t>depends</t>
  </si>
  <si>
    <t>8</t>
  </si>
  <si>
    <t>12</t>
  </si>
  <si>
    <t>paid childcare</t>
  </si>
  <si>
    <t>somewhat</t>
  </si>
  <si>
    <t>6</t>
  </si>
  <si>
    <t>planning tasks</t>
  </si>
  <si>
    <t xml:space="preserve">employment_type_cleaned 
 </t>
  </si>
  <si>
    <t>paid_hours -Cleaned</t>
  </si>
  <si>
    <t>partner_support-Cleaned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</si>
</sst>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V11"/>
  <sheetViews>
    <sheetView tabSelected="1" topLeftCell="K1" workbookViewId="0">
      <pane ySplit="1" topLeftCell="A2" activePane="bottomLeft" state="frozen"/>
      <selection pane="bottomLeft" activeCell="O1" sqref="O1"/>
    </sheetView>
  </sheetViews>
  <sheetFormatPr defaultColWidth="15.7109375" defaultRowHeight="15"/>
  <cols>
    <col min="8" max="8" width="20.140625" customWidth="1"/>
    <col min="15" max="15" width="20.5703125" customWidth="1"/>
  </cols>
  <sheetData>
    <row r="1" spans="1:22" ht="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140</v>
      </c>
      <c r="G1" t="s">
        <v>5</v>
      </c>
      <c r="H1" t="s">
        <v>141</v>
      </c>
      <c r="I1" t="s">
        <v>7</v>
      </c>
      <c r="J1" t="s">
        <v>8</v>
      </c>
      <c r="K1" t="s">
        <v>139</v>
      </c>
      <c r="L1" t="s">
        <v>10</v>
      </c>
      <c r="M1" t="s">
        <v>11</v>
      </c>
      <c r="N1" t="s">
        <v>12</v>
      </c>
      <c r="O1" t="s">
        <v>142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 t="str">
        <f>LOWER(TRIM(E2))</f>
        <v>full time</v>
      </c>
      <c r="G2" t="s">
        <v>26</v>
      </c>
      <c r="H2" t="str">
        <f>SUBSTITUTE(SUBSTITUTE(SUBSTITUTE(SUBSTITUTE(G2,"hrs",""),"ish",""),"~",""),"+","")</f>
        <v xml:space="preserve">40 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tr">
        <f>IF(N2="",0,N2)</f>
        <v>3</v>
      </c>
      <c r="P2" t="s">
        <v>35</v>
      </c>
      <c r="Q2" t="s">
        <v>36</v>
      </c>
      <c r="R2" t="s">
        <v>30</v>
      </c>
      <c r="S2" t="s">
        <v>37</v>
      </c>
      <c r="T2" t="s">
        <v>38</v>
      </c>
      <c r="U2" t="s">
        <v>39</v>
      </c>
      <c r="V2" t="s">
        <v>23</v>
      </c>
    </row>
    <row r="3" spans="1:22">
      <c r="A3" t="s">
        <v>40</v>
      </c>
      <c r="B3" t="s">
        <v>41</v>
      </c>
      <c r="C3" t="s">
        <v>42</v>
      </c>
      <c r="D3" t="s">
        <v>43</v>
      </c>
      <c r="E3" t="s">
        <v>44</v>
      </c>
      <c r="F3" s="1" t="str">
        <f t="shared" ref="F3:F11" si="0">LOWER(TRIM(E3))</f>
        <v>part-time</v>
      </c>
      <c r="G3" t="s">
        <v>45</v>
      </c>
      <c r="H3" t="str">
        <f t="shared" ref="H3:H11" si="1">SUBSTITUTE(SUBSTITUTE(SUBSTITUTE(SUBSTITUTE(G3,"hrs",""),"ish",""),"~",""),"+","")</f>
        <v>25</v>
      </c>
      <c r="I3" t="s">
        <v>46</v>
      </c>
      <c r="J3" t="s">
        <v>47</v>
      </c>
      <c r="K3" t="s">
        <v>48</v>
      </c>
      <c r="L3" t="s">
        <v>49</v>
      </c>
      <c r="M3" t="s">
        <v>27</v>
      </c>
      <c r="N3" t="s">
        <v>27</v>
      </c>
      <c r="O3" t="str">
        <f t="shared" ref="O3:O11" si="2">IF(N3="",0,N3)</f>
        <v>4</v>
      </c>
      <c r="P3" t="s">
        <v>51</v>
      </c>
      <c r="Q3" t="s">
        <v>48</v>
      </c>
      <c r="R3" t="s">
        <v>52</v>
      </c>
      <c r="S3" t="s">
        <v>53</v>
      </c>
      <c r="T3" t="s">
        <v>54</v>
      </c>
      <c r="U3" t="s">
        <v>33</v>
      </c>
    </row>
    <row r="4" spans="1:22">
      <c r="A4" t="s">
        <v>55</v>
      </c>
      <c r="B4" t="s">
        <v>56</v>
      </c>
      <c r="C4" t="s">
        <v>33</v>
      </c>
      <c r="D4" t="s">
        <v>57</v>
      </c>
      <c r="E4" t="s">
        <v>58</v>
      </c>
      <c r="F4" s="1" t="str">
        <f t="shared" si="0"/>
        <v>ft</v>
      </c>
      <c r="G4" t="s">
        <v>59</v>
      </c>
      <c r="H4" t="str">
        <f t="shared" si="1"/>
        <v>45</v>
      </c>
      <c r="I4" t="s">
        <v>60</v>
      </c>
      <c r="J4" t="s">
        <v>61</v>
      </c>
      <c r="K4" t="s">
        <v>62</v>
      </c>
      <c r="L4" t="s">
        <v>63</v>
      </c>
      <c r="M4" t="s">
        <v>32</v>
      </c>
      <c r="N4" t="s">
        <v>23</v>
      </c>
      <c r="O4" t="str">
        <f t="shared" si="2"/>
        <v>2</v>
      </c>
      <c r="P4" t="s">
        <v>65</v>
      </c>
      <c r="Q4" t="s">
        <v>66</v>
      </c>
      <c r="R4" t="s">
        <v>62</v>
      </c>
      <c r="S4" t="s">
        <v>67</v>
      </c>
      <c r="T4" t="s">
        <v>68</v>
      </c>
      <c r="U4" t="s">
        <v>51</v>
      </c>
      <c r="V4" t="s">
        <v>69</v>
      </c>
    </row>
    <row r="5" spans="1:22">
      <c r="A5" t="s">
        <v>70</v>
      </c>
      <c r="B5" t="s">
        <v>71</v>
      </c>
      <c r="C5" t="s">
        <v>23</v>
      </c>
      <c r="D5" t="s">
        <v>72</v>
      </c>
      <c r="E5" t="s">
        <v>73</v>
      </c>
      <c r="F5" s="1" t="str">
        <f t="shared" si="0"/>
        <v>self employed</v>
      </c>
      <c r="G5" t="s">
        <v>74</v>
      </c>
      <c r="H5" t="str">
        <f t="shared" si="1"/>
        <v>50</v>
      </c>
      <c r="I5" t="s">
        <v>75</v>
      </c>
      <c r="J5" t="s">
        <v>75</v>
      </c>
      <c r="K5" t="s">
        <v>76</v>
      </c>
      <c r="L5" t="s">
        <v>77</v>
      </c>
      <c r="M5" t="s">
        <v>27</v>
      </c>
      <c r="O5">
        <f t="shared" si="2"/>
        <v>0</v>
      </c>
      <c r="P5" t="s">
        <v>35</v>
      </c>
      <c r="Q5" t="s">
        <v>79</v>
      </c>
      <c r="R5" t="s">
        <v>80</v>
      </c>
      <c r="S5" t="s">
        <v>81</v>
      </c>
      <c r="T5" t="s">
        <v>38</v>
      </c>
      <c r="U5" t="s">
        <v>39</v>
      </c>
      <c r="V5" t="s">
        <v>23</v>
      </c>
    </row>
    <row r="6" spans="1:22">
      <c r="A6" t="s">
        <v>82</v>
      </c>
      <c r="B6" t="s">
        <v>83</v>
      </c>
      <c r="C6" t="s">
        <v>84</v>
      </c>
      <c r="D6" t="s">
        <v>85</v>
      </c>
      <c r="E6" t="s">
        <v>86</v>
      </c>
      <c r="F6" s="1" t="str">
        <f t="shared" si="0"/>
        <v>full-time</v>
      </c>
      <c r="G6" t="s">
        <v>87</v>
      </c>
      <c r="H6" t="str">
        <f t="shared" si="1"/>
        <v>40-45</v>
      </c>
      <c r="I6" t="s">
        <v>45</v>
      </c>
      <c r="J6" t="s">
        <v>88</v>
      </c>
      <c r="K6" t="s">
        <v>62</v>
      </c>
      <c r="L6" t="s">
        <v>89</v>
      </c>
      <c r="M6" t="s">
        <v>32</v>
      </c>
      <c r="N6" t="s">
        <v>69</v>
      </c>
      <c r="O6" t="str">
        <f t="shared" si="2"/>
        <v>1</v>
      </c>
      <c r="P6" t="s">
        <v>91</v>
      </c>
      <c r="Q6" t="s">
        <v>92</v>
      </c>
      <c r="R6" t="s">
        <v>30</v>
      </c>
      <c r="S6" t="s">
        <v>93</v>
      </c>
      <c r="T6" t="s">
        <v>94</v>
      </c>
      <c r="U6" t="s">
        <v>51</v>
      </c>
      <c r="V6" t="s">
        <v>69</v>
      </c>
    </row>
    <row r="7" spans="1:22">
      <c r="A7" t="s">
        <v>95</v>
      </c>
      <c r="B7" t="s">
        <v>22</v>
      </c>
      <c r="C7" t="s">
        <v>69</v>
      </c>
      <c r="D7" t="s">
        <v>96</v>
      </c>
      <c r="E7" t="s">
        <v>97</v>
      </c>
      <c r="F7" s="1" t="str">
        <f t="shared" si="0"/>
        <v>contract</v>
      </c>
      <c r="G7" t="s">
        <v>98</v>
      </c>
      <c r="H7" t="str">
        <f t="shared" si="1"/>
        <v xml:space="preserve">30 </v>
      </c>
      <c r="I7" t="s">
        <v>99</v>
      </c>
      <c r="J7" t="s">
        <v>100</v>
      </c>
      <c r="K7" t="s">
        <v>48</v>
      </c>
      <c r="L7" t="s">
        <v>101</v>
      </c>
      <c r="M7" t="s">
        <v>33</v>
      </c>
      <c r="N7" t="s">
        <v>32</v>
      </c>
      <c r="O7" t="str">
        <f t="shared" si="2"/>
        <v>5</v>
      </c>
      <c r="P7" t="s">
        <v>51</v>
      </c>
      <c r="Q7" t="s">
        <v>103</v>
      </c>
      <c r="R7" t="s">
        <v>104</v>
      </c>
      <c r="S7" t="s">
        <v>105</v>
      </c>
      <c r="T7" t="s">
        <v>106</v>
      </c>
      <c r="U7" t="s">
        <v>107</v>
      </c>
      <c r="V7" t="s">
        <v>27</v>
      </c>
    </row>
    <row r="8" spans="1:22">
      <c r="A8" t="s">
        <v>108</v>
      </c>
      <c r="B8" t="s">
        <v>109</v>
      </c>
      <c r="C8" t="s">
        <v>23</v>
      </c>
      <c r="D8" t="s">
        <v>24</v>
      </c>
      <c r="E8" t="s">
        <v>110</v>
      </c>
      <c r="F8" s="1" t="str">
        <f t="shared" si="0"/>
        <v>full time</v>
      </c>
      <c r="G8" t="s">
        <v>111</v>
      </c>
      <c r="H8" t="str">
        <f t="shared" si="1"/>
        <v>40</v>
      </c>
      <c r="I8" t="s">
        <v>112</v>
      </c>
      <c r="J8" t="s">
        <v>113</v>
      </c>
      <c r="K8" t="s">
        <v>30</v>
      </c>
      <c r="L8" t="s">
        <v>31</v>
      </c>
      <c r="M8" t="s">
        <v>27</v>
      </c>
      <c r="N8" t="s">
        <v>23</v>
      </c>
      <c r="O8" t="str">
        <f t="shared" si="2"/>
        <v>2</v>
      </c>
      <c r="P8" t="s">
        <v>35</v>
      </c>
      <c r="Q8" t="s">
        <v>66</v>
      </c>
      <c r="R8" t="s">
        <v>30</v>
      </c>
      <c r="S8" t="s">
        <v>52</v>
      </c>
      <c r="T8" t="s">
        <v>68</v>
      </c>
      <c r="U8" t="s">
        <v>39</v>
      </c>
      <c r="V8" t="s">
        <v>23</v>
      </c>
    </row>
    <row r="9" spans="1:22">
      <c r="A9" t="s">
        <v>114</v>
      </c>
      <c r="B9" t="s">
        <v>115</v>
      </c>
      <c r="C9" t="s">
        <v>33</v>
      </c>
      <c r="D9" t="s">
        <v>116</v>
      </c>
      <c r="E9" t="s">
        <v>117</v>
      </c>
      <c r="F9" s="1" t="str">
        <f t="shared" si="0"/>
        <v>pt</v>
      </c>
      <c r="G9" t="s">
        <v>118</v>
      </c>
      <c r="H9" t="str">
        <f t="shared" si="1"/>
        <v xml:space="preserve">20 </v>
      </c>
      <c r="I9" t="s">
        <v>119</v>
      </c>
      <c r="J9" t="s">
        <v>46</v>
      </c>
      <c r="K9" t="s">
        <v>120</v>
      </c>
      <c r="L9" t="s">
        <v>121</v>
      </c>
      <c r="M9" t="s">
        <v>23</v>
      </c>
      <c r="N9" t="s">
        <v>27</v>
      </c>
      <c r="O9" t="str">
        <f t="shared" si="2"/>
        <v>4</v>
      </c>
      <c r="P9" t="s">
        <v>51</v>
      </c>
      <c r="Q9" t="s">
        <v>103</v>
      </c>
      <c r="R9" t="s">
        <v>104</v>
      </c>
      <c r="S9" t="s">
        <v>105</v>
      </c>
      <c r="T9" t="s">
        <v>106</v>
      </c>
      <c r="U9" t="s">
        <v>54</v>
      </c>
      <c r="V9" t="s">
        <v>27</v>
      </c>
    </row>
    <row r="10" spans="1:22">
      <c r="A10" t="s">
        <v>123</v>
      </c>
      <c r="B10" t="s">
        <v>22</v>
      </c>
      <c r="C10" t="s">
        <v>23</v>
      </c>
      <c r="D10" t="s">
        <v>85</v>
      </c>
      <c r="E10" t="s">
        <v>124</v>
      </c>
      <c r="F10" s="1" t="str">
        <f t="shared" si="0"/>
        <v>fulltime</v>
      </c>
      <c r="G10" t="s">
        <v>125</v>
      </c>
      <c r="H10" t="str">
        <f t="shared" si="1"/>
        <v>50</v>
      </c>
      <c r="I10" t="s">
        <v>61</v>
      </c>
      <c r="J10" t="s">
        <v>126</v>
      </c>
      <c r="K10" t="s">
        <v>62</v>
      </c>
      <c r="L10" t="s">
        <v>77</v>
      </c>
      <c r="M10" t="s">
        <v>32</v>
      </c>
      <c r="N10" t="s">
        <v>69</v>
      </c>
      <c r="O10" t="str">
        <f t="shared" si="2"/>
        <v>1</v>
      </c>
      <c r="P10" t="s">
        <v>65</v>
      </c>
      <c r="Q10" t="s">
        <v>128</v>
      </c>
      <c r="R10" t="s">
        <v>62</v>
      </c>
      <c r="S10" t="s">
        <v>129</v>
      </c>
      <c r="T10" t="s">
        <v>38</v>
      </c>
      <c r="U10" t="s">
        <v>130</v>
      </c>
      <c r="V10" t="s">
        <v>69</v>
      </c>
    </row>
    <row r="11" spans="1:22">
      <c r="A11" t="s">
        <v>131</v>
      </c>
      <c r="B11" t="s">
        <v>109</v>
      </c>
      <c r="C11" t="s">
        <v>69</v>
      </c>
      <c r="D11" t="s">
        <v>24</v>
      </c>
      <c r="E11" t="s">
        <v>132</v>
      </c>
      <c r="F11" s="1" t="str">
        <f t="shared" si="0"/>
        <v>freelance</v>
      </c>
      <c r="G11" t="s">
        <v>133</v>
      </c>
      <c r="H11" t="str">
        <f t="shared" si="1"/>
        <v>depends</v>
      </c>
      <c r="I11" t="s">
        <v>134</v>
      </c>
      <c r="J11" t="s">
        <v>135</v>
      </c>
      <c r="K11" t="s">
        <v>48</v>
      </c>
      <c r="L11" t="s">
        <v>31</v>
      </c>
      <c r="M11" t="s">
        <v>33</v>
      </c>
      <c r="N11" t="s">
        <v>33</v>
      </c>
      <c r="O11" t="str">
        <f t="shared" si="2"/>
        <v>3</v>
      </c>
      <c r="P11" t="s">
        <v>137</v>
      </c>
      <c r="Q11" t="s">
        <v>79</v>
      </c>
      <c r="R11" t="s">
        <v>48</v>
      </c>
      <c r="S11" t="s">
        <v>138</v>
      </c>
      <c r="T11" t="s">
        <v>106</v>
      </c>
      <c r="U11" t="s">
        <v>107</v>
      </c>
      <c r="V11" t="s">
        <v>33</v>
      </c>
    </row>
  </sheetData>
  <autoFilter ref="A1:V11">
    <filterColumn colId="0">
      <iconFilter iconSet="3Arrows"/>
    </filterColumn>
    <filterColumn colId="4"/>
  </autoFilter>
  <conditionalFormatting sqref="A1:A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selection activeCell="D16" sqref="D16"/>
    </sheetView>
  </sheetViews>
  <sheetFormatPr defaultRowHeight="15"/>
  <cols>
    <col min="2" max="2" width="14.42578125" customWidth="1"/>
    <col min="3" max="3" width="16.42578125" customWidth="1"/>
    <col min="4" max="4" width="22.85546875" customWidth="1"/>
    <col min="5" max="5" width="23.85546875" customWidth="1"/>
    <col min="6" max="6" width="11.5703125" customWidth="1"/>
    <col min="7" max="7" width="15.7109375" customWidth="1"/>
    <col min="8" max="8" width="17.42578125" customWidth="1"/>
    <col min="9" max="9" width="16.28515625" customWidth="1"/>
    <col min="10" max="10" width="29.140625" customWidth="1"/>
    <col min="11" max="11" width="23.42578125" customWidth="1"/>
    <col min="13" max="13" width="24.5703125" customWidth="1"/>
    <col min="14" max="14" width="16.5703125" customWidth="1"/>
    <col min="18" max="18" width="12.85546875" customWidth="1"/>
    <col min="19" max="19" width="26.85546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30</v>
      </c>
      <c r="R2" t="s">
        <v>37</v>
      </c>
      <c r="S2" t="s">
        <v>38</v>
      </c>
      <c r="T2" t="s">
        <v>39</v>
      </c>
      <c r="U2" t="s">
        <v>23</v>
      </c>
    </row>
    <row r="3" spans="1:21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33</v>
      </c>
      <c r="H3" t="s">
        <v>46</v>
      </c>
      <c r="I3" t="s">
        <v>47</v>
      </c>
      <c r="J3" t="s">
        <v>48</v>
      </c>
      <c r="K3" t="s">
        <v>49</v>
      </c>
      <c r="L3" t="s">
        <v>27</v>
      </c>
      <c r="M3" t="s">
        <v>27</v>
      </c>
      <c r="N3" t="s">
        <v>50</v>
      </c>
      <c r="O3" t="s">
        <v>51</v>
      </c>
      <c r="P3" t="s">
        <v>48</v>
      </c>
      <c r="Q3" t="s">
        <v>52</v>
      </c>
      <c r="R3" t="s">
        <v>53</v>
      </c>
      <c r="S3" t="s">
        <v>54</v>
      </c>
      <c r="T3" t="s">
        <v>33</v>
      </c>
    </row>
    <row r="4" spans="1:21">
      <c r="A4" t="s">
        <v>55</v>
      </c>
      <c r="B4" t="s">
        <v>56</v>
      </c>
      <c r="C4" t="s">
        <v>33</v>
      </c>
      <c r="D4" t="s">
        <v>57</v>
      </c>
      <c r="E4" t="s">
        <v>58</v>
      </c>
      <c r="F4" t="s">
        <v>59</v>
      </c>
      <c r="G4" t="s">
        <v>23</v>
      </c>
      <c r="H4" t="s">
        <v>60</v>
      </c>
      <c r="I4" t="s">
        <v>61</v>
      </c>
      <c r="J4" t="s">
        <v>62</v>
      </c>
      <c r="K4" t="s">
        <v>63</v>
      </c>
      <c r="L4" t="s">
        <v>32</v>
      </c>
      <c r="M4" t="s">
        <v>23</v>
      </c>
      <c r="N4" t="s">
        <v>64</v>
      </c>
      <c r="O4" t="s">
        <v>65</v>
      </c>
      <c r="P4" t="s">
        <v>66</v>
      </c>
      <c r="Q4" t="s">
        <v>62</v>
      </c>
      <c r="R4" t="s">
        <v>67</v>
      </c>
      <c r="S4" t="s">
        <v>68</v>
      </c>
      <c r="T4" t="s">
        <v>51</v>
      </c>
      <c r="U4" t="s">
        <v>69</v>
      </c>
    </row>
    <row r="5" spans="1:21">
      <c r="A5" t="s">
        <v>70</v>
      </c>
      <c r="B5" t="s">
        <v>71</v>
      </c>
      <c r="C5" t="s">
        <v>23</v>
      </c>
      <c r="D5" t="s">
        <v>72</v>
      </c>
      <c r="E5" t="s">
        <v>73</v>
      </c>
      <c r="F5" t="s">
        <v>74</v>
      </c>
      <c r="G5" t="s">
        <v>69</v>
      </c>
      <c r="H5" t="s">
        <v>75</v>
      </c>
      <c r="I5" t="s">
        <v>75</v>
      </c>
      <c r="J5" t="s">
        <v>76</v>
      </c>
      <c r="K5" t="s">
        <v>77</v>
      </c>
      <c r="L5" t="s">
        <v>27</v>
      </c>
      <c r="N5" t="s">
        <v>78</v>
      </c>
      <c r="O5" t="s">
        <v>35</v>
      </c>
      <c r="P5" t="s">
        <v>79</v>
      </c>
      <c r="Q5" t="s">
        <v>80</v>
      </c>
      <c r="R5" t="s">
        <v>81</v>
      </c>
      <c r="S5" t="s">
        <v>38</v>
      </c>
      <c r="T5" t="s">
        <v>39</v>
      </c>
      <c r="U5" t="s">
        <v>23</v>
      </c>
    </row>
    <row r="6" spans="1:21">
      <c r="A6" t="s">
        <v>82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s">
        <v>33</v>
      </c>
      <c r="H6" t="s">
        <v>45</v>
      </c>
      <c r="I6" t="s">
        <v>88</v>
      </c>
      <c r="J6" t="s">
        <v>62</v>
      </c>
      <c r="K6" t="s">
        <v>89</v>
      </c>
      <c r="L6" t="s">
        <v>32</v>
      </c>
      <c r="M6" t="s">
        <v>69</v>
      </c>
      <c r="N6" t="s">
        <v>90</v>
      </c>
      <c r="O6" t="s">
        <v>91</v>
      </c>
      <c r="P6" t="s">
        <v>92</v>
      </c>
      <c r="Q6" t="s">
        <v>30</v>
      </c>
      <c r="R6" t="s">
        <v>93</v>
      </c>
      <c r="S6" t="s">
        <v>94</v>
      </c>
      <c r="T6" t="s">
        <v>51</v>
      </c>
      <c r="U6" t="s">
        <v>69</v>
      </c>
    </row>
    <row r="7" spans="1:21">
      <c r="A7" t="s">
        <v>95</v>
      </c>
      <c r="B7" t="s">
        <v>22</v>
      </c>
      <c r="C7" t="s">
        <v>69</v>
      </c>
      <c r="D7" t="s">
        <v>96</v>
      </c>
      <c r="E7" t="s">
        <v>97</v>
      </c>
      <c r="F7" t="s">
        <v>98</v>
      </c>
      <c r="G7" t="s">
        <v>27</v>
      </c>
      <c r="H7" t="s">
        <v>99</v>
      </c>
      <c r="I7" t="s">
        <v>100</v>
      </c>
      <c r="J7" t="s">
        <v>48</v>
      </c>
      <c r="K7" t="s">
        <v>101</v>
      </c>
      <c r="L7" t="s">
        <v>33</v>
      </c>
      <c r="M7" t="s">
        <v>32</v>
      </c>
      <c r="N7" t="s">
        <v>102</v>
      </c>
      <c r="O7" t="s">
        <v>51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27</v>
      </c>
    </row>
    <row r="8" spans="1:21">
      <c r="A8" t="s">
        <v>108</v>
      </c>
      <c r="B8" t="s">
        <v>109</v>
      </c>
      <c r="C8" t="s">
        <v>23</v>
      </c>
      <c r="D8" t="s">
        <v>24</v>
      </c>
      <c r="E8" t="s">
        <v>110</v>
      </c>
      <c r="F8" t="s">
        <v>111</v>
      </c>
      <c r="G8" t="s">
        <v>23</v>
      </c>
      <c r="H8" t="s">
        <v>112</v>
      </c>
      <c r="I8" t="s">
        <v>113</v>
      </c>
      <c r="J8" t="s">
        <v>30</v>
      </c>
      <c r="K8" t="s">
        <v>31</v>
      </c>
      <c r="L8" t="s">
        <v>27</v>
      </c>
      <c r="M8" t="s">
        <v>23</v>
      </c>
      <c r="N8" t="s">
        <v>50</v>
      </c>
      <c r="O8" t="s">
        <v>35</v>
      </c>
      <c r="P8" t="s">
        <v>66</v>
      </c>
      <c r="Q8" t="s">
        <v>30</v>
      </c>
      <c r="R8" t="s">
        <v>52</v>
      </c>
      <c r="S8" t="s">
        <v>68</v>
      </c>
      <c r="T8" t="s">
        <v>39</v>
      </c>
      <c r="U8" t="s">
        <v>23</v>
      </c>
    </row>
    <row r="9" spans="1:21">
      <c r="A9" t="s">
        <v>114</v>
      </c>
      <c r="B9" t="s">
        <v>115</v>
      </c>
      <c r="C9" t="s">
        <v>33</v>
      </c>
      <c r="D9" t="s">
        <v>116</v>
      </c>
      <c r="E9" t="s">
        <v>117</v>
      </c>
      <c r="F9" t="s">
        <v>118</v>
      </c>
      <c r="G9" t="s">
        <v>32</v>
      </c>
      <c r="H9" t="s">
        <v>119</v>
      </c>
      <c r="I9" t="s">
        <v>46</v>
      </c>
      <c r="J9" t="s">
        <v>120</v>
      </c>
      <c r="K9" t="s">
        <v>121</v>
      </c>
      <c r="L9" t="s">
        <v>23</v>
      </c>
      <c r="M9" t="s">
        <v>27</v>
      </c>
      <c r="N9" t="s">
        <v>122</v>
      </c>
      <c r="O9" t="s">
        <v>51</v>
      </c>
      <c r="P9" t="s">
        <v>103</v>
      </c>
      <c r="Q9" t="s">
        <v>104</v>
      </c>
      <c r="R9" t="s">
        <v>105</v>
      </c>
      <c r="S9" t="s">
        <v>106</v>
      </c>
      <c r="T9" t="s">
        <v>54</v>
      </c>
      <c r="U9" t="s">
        <v>27</v>
      </c>
    </row>
    <row r="10" spans="1:21">
      <c r="A10" t="s">
        <v>123</v>
      </c>
      <c r="B10" t="s">
        <v>22</v>
      </c>
      <c r="C10" t="s">
        <v>23</v>
      </c>
      <c r="D10" t="s">
        <v>85</v>
      </c>
      <c r="E10" t="s">
        <v>124</v>
      </c>
      <c r="F10" t="s">
        <v>125</v>
      </c>
      <c r="G10" t="s">
        <v>69</v>
      </c>
      <c r="H10" t="s">
        <v>61</v>
      </c>
      <c r="I10" t="s">
        <v>126</v>
      </c>
      <c r="J10" t="s">
        <v>62</v>
      </c>
      <c r="K10" t="s">
        <v>77</v>
      </c>
      <c r="L10" t="s">
        <v>32</v>
      </c>
      <c r="M10" t="s">
        <v>69</v>
      </c>
      <c r="N10" t="s">
        <v>127</v>
      </c>
      <c r="O10" t="s">
        <v>65</v>
      </c>
      <c r="P10" t="s">
        <v>128</v>
      </c>
      <c r="Q10" t="s">
        <v>62</v>
      </c>
      <c r="R10" t="s">
        <v>129</v>
      </c>
      <c r="S10" t="s">
        <v>38</v>
      </c>
      <c r="T10" t="s">
        <v>130</v>
      </c>
      <c r="U10" t="s">
        <v>69</v>
      </c>
    </row>
    <row r="11" spans="1:21">
      <c r="A11" t="s">
        <v>131</v>
      </c>
      <c r="B11" t="s">
        <v>109</v>
      </c>
      <c r="C11" t="s">
        <v>69</v>
      </c>
      <c r="D11" t="s">
        <v>24</v>
      </c>
      <c r="E11" t="s">
        <v>132</v>
      </c>
      <c r="F11" t="s">
        <v>133</v>
      </c>
      <c r="G11" t="s">
        <v>33</v>
      </c>
      <c r="H11" t="s">
        <v>134</v>
      </c>
      <c r="I11" t="s">
        <v>135</v>
      </c>
      <c r="J11" t="s">
        <v>48</v>
      </c>
      <c r="K11" t="s">
        <v>31</v>
      </c>
      <c r="L11" t="s">
        <v>33</v>
      </c>
      <c r="M11" t="s">
        <v>33</v>
      </c>
      <c r="N11" t="s">
        <v>136</v>
      </c>
      <c r="O11" t="s">
        <v>137</v>
      </c>
      <c r="P11" t="s">
        <v>79</v>
      </c>
      <c r="Q11" t="s">
        <v>48</v>
      </c>
      <c r="R11" t="s">
        <v>138</v>
      </c>
      <c r="S11" t="s">
        <v>106</v>
      </c>
      <c r="T11" t="s">
        <v>107</v>
      </c>
      <c r="U1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responses_cleaned (2)</vt:lpstr>
      <vt:lpstr>responses_raw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mypc</cp:lastModifiedBy>
  <dcterms:created xsi:type="dcterms:W3CDTF">2026-01-18T08:02:35Z</dcterms:created>
  <dcterms:modified xsi:type="dcterms:W3CDTF">2026-01-19T16:20:13Z</dcterms:modified>
</cp:coreProperties>
</file>